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rgiovalenzuela/Desktop/"/>
    </mc:Choice>
  </mc:AlternateContent>
  <xr:revisionPtr revIDLastSave="0" documentId="13_ncr:1_{01D9A81F-2E51-E84D-BA39-D66BED3BA222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Diagnóstico B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3" l="1"/>
  <c r="F57" i="3"/>
  <c r="E57" i="3"/>
  <c r="D57" i="3"/>
  <c r="C57" i="3"/>
  <c r="G70" i="3"/>
  <c r="F70" i="3"/>
  <c r="E70" i="3"/>
  <c r="D70" i="3"/>
  <c r="C70" i="3"/>
  <c r="G44" i="3"/>
  <c r="F44" i="3"/>
  <c r="E44" i="3"/>
  <c r="D44" i="3"/>
  <c r="C44" i="3"/>
  <c r="F31" i="3"/>
  <c r="E31" i="3"/>
  <c r="G31" i="3"/>
  <c r="D31" i="3"/>
  <c r="C31" i="3"/>
  <c r="G18" i="3"/>
  <c r="F18" i="3"/>
  <c r="E18" i="3"/>
  <c r="D18" i="3"/>
  <c r="C18" i="3"/>
  <c r="C58" i="3" l="1"/>
  <c r="C79" i="3" s="1"/>
  <c r="C71" i="3"/>
  <c r="C78" i="3" s="1"/>
  <c r="C32" i="3"/>
  <c r="C76" i="3" s="1"/>
  <c r="C45" i="3"/>
  <c r="C77" i="3" s="1"/>
  <c r="C19" i="3"/>
  <c r="C75" i="3" s="1"/>
  <c r="C80" i="3" l="1"/>
</calcChain>
</file>

<file path=xl/sharedStrings.xml><?xml version="1.0" encoding="utf-8"?>
<sst xmlns="http://schemas.openxmlformats.org/spreadsheetml/2006/main" count="85" uniqueCount="74">
  <si>
    <t>CRITERIO</t>
  </si>
  <si>
    <t xml:space="preserve">Total </t>
  </si>
  <si>
    <t>EVALUACIÓN</t>
  </si>
  <si>
    <t>Total del criterio</t>
  </si>
  <si>
    <t>TOTAL</t>
  </si>
  <si>
    <t>Porque</t>
  </si>
  <si>
    <t>Conoces el objetivo de la cámara de calzado?</t>
  </si>
  <si>
    <t>Participas en las actividades de la cámara?</t>
  </si>
  <si>
    <t>los servicios y/ o programas que ofrece la cámara son de valor para tu empresa?</t>
  </si>
  <si>
    <t>Que necesidades tienes que no estan siendo cubiertas por la cámara</t>
  </si>
  <si>
    <t>que necesidades empresariales tienes que desde la cámara pudiera apoyarte</t>
  </si>
  <si>
    <t>Nada</t>
  </si>
  <si>
    <t>Regular</t>
  </si>
  <si>
    <t>Mínimo</t>
  </si>
  <si>
    <t>Aceptable</t>
  </si>
  <si>
    <t>NOM 036-1-STPS-2018</t>
  </si>
  <si>
    <t>2 -  USO DE EQUIPOS AUXILIARES Y CONDICIONES AMBIENTALES</t>
  </si>
  <si>
    <t>5 - MEDIDAS DE PREVENCIÓN Y/O CONTROL</t>
  </si>
  <si>
    <t>4 - DIFUSIÓN Y PROMOCIÓN DE LA SALUD</t>
  </si>
  <si>
    <t>1 - IDENTIFICACIÓN Y CLASIFICACIÓN DE LOS PUESTOS DE TRABAJO OCUPACIONALMENTE EXPUESTOS</t>
  </si>
  <si>
    <t>3-   CAPACITACIÓN, ADIESTRAMIENTO Y VIGILANCIA A LA SALUD</t>
  </si>
  <si>
    <t>2 - USO DE EQUIPOS AUXILIARES Y CONDICIONES AMBIENTALES</t>
  </si>
  <si>
    <t>3 - CAPACITACIÓN, ADIESTRAMIENTO Y VIGILANCIA A LA SALUD</t>
  </si>
  <si>
    <t>Óptimo</t>
  </si>
  <si>
    <t>1.1 Se han identificado todas las tareas que implican levantar, bajar, empujar, jalar, transportar o estibar materiales manualmente</t>
  </si>
  <si>
    <t>1.2 Se conoce el peso de las cargas manipuladas en cada estación y puesto de trabajo</t>
  </si>
  <si>
    <t>1.3 Todas las actividades de carga manual se hacen en lugares con suficiente espacio y sin obstrucciones para poder levantarlas y transportarlas</t>
  </si>
  <si>
    <t>1.4 Se aplican métodos de estimación del riesgo que vienen en la NOM-036 para evaluar el manejo de cargas en el trabajo</t>
  </si>
  <si>
    <t>1.5 Se registra el número de veces que los trabajadores levantan y/o trasladan una carga durante la jornada laboral</t>
  </si>
  <si>
    <t>1.6 Las cargas manipuladas se encuentran dentro de los límites permitidos de acuerdo al género y edad</t>
  </si>
  <si>
    <t>1.7 Se cuenta con documentación o planos donde se indiquen cuáles son los puestos de trabajo con Manejo manual de Cargas (MMC</t>
  </si>
  <si>
    <t>1.8 Se han ajustado procesos, materiales o puestos de trabajo para evitar posturas forzadas o traslados innecesarios</t>
  </si>
  <si>
    <t>1.9 Se han realizado pausas activas o descansos programados para actividades repetitivas con MMC</t>
  </si>
  <si>
    <t>1.10 Se ha limitado la cantidad de peso total que un trabajador puede cargar durante una jornada laboral</t>
  </si>
  <si>
    <t>2.1 Se utilizan dispositivos auxiliares (carretillas, diablos, patines) en el manejo cotidiano de cargas</t>
  </si>
  <si>
    <t>2.3 Se conoce la capacidad de carga que tiene cada equipo auxiliar</t>
  </si>
  <si>
    <t>2.4 Las superficies de rodamiento (pisos) están niveladas, limpias y libres de obstáculos</t>
  </si>
  <si>
    <t>2.7 Se revisa periódicamente el estado físico del equipo auxiliar</t>
  </si>
  <si>
    <t>2.9 Se identifican riesgos adicionales por condiciones térmicas o de iluminación en las rutas de traslado</t>
  </si>
  <si>
    <t xml:space="preserve">2.2 Se evalúa la estabilidad de las cargas antes de su transporte (por ejemplo, que no se vaya a caer del diablo, patín, carretilla, etc.). </t>
  </si>
  <si>
    <t>2.5 Los pasillos de tránsito permiten maniobras seguras con cargas</t>
  </si>
  <si>
    <t>2.6 Las rampas, pendientes y plataformas cuentan con indicaciones como señalización y pintura de carriles para uso seguro</t>
  </si>
  <si>
    <t>2.8 Las cargas se distribuyen equilibradamente en el equipo auxiliar durante el traslado</t>
  </si>
  <si>
    <t>2.10 Se aplican límites de peso total por jornada de trabajo en transporte de materiales (con o sin uso de equipo auxiliar)</t>
  </si>
  <si>
    <t>3.2 Existen registros actualizados de dichas capacitaciones</t>
  </si>
  <si>
    <t>3.3 La capacitación incluye aspectos teóricos, prácticos y de evaluación</t>
  </si>
  <si>
    <t>3.4 Se capacita al personal de almacén en técnicas seguras de empuje y tracción</t>
  </si>
  <si>
    <t>3.5 Se aplican exámenes médicos de ingreso para evaluar aptitud física para el manejo manual de cargas</t>
  </si>
  <si>
    <t>3.6 Se realizan evaluaciones médicas periódicas al personal expuesto</t>
  </si>
  <si>
    <t>3.1 El personal con tareas de manejo manual de cargas ha recibido capacitación específica en técnicas seguras para la manipulación de estas</t>
  </si>
  <si>
    <t>3.7 Se ha reubicado personal en caso de restricción médica para el manejo manual de cargas</t>
  </si>
  <si>
    <t>3.9 La capacitación se refuerza cada año o tras cambios en el proceso</t>
  </si>
  <si>
    <t>3.10 Se contempla el bienestar físico y psicológico del personal en actividades con esfuerzo físico</t>
  </si>
  <si>
    <t xml:space="preserve">3.8 Se promueven hábitos posturales saludables en el entorno laboral por medio de campañas, charlas informativas, carteles, trípticos, etc. </t>
  </si>
  <si>
    <t>4.1 Existe políticas internas y por escrito en materia de prevención de riesgos ergonómicos en el trabajo</t>
  </si>
  <si>
    <t>4.3 Se destina presupuesto para la adquisición de equipos auxiliares de carga</t>
  </si>
  <si>
    <t>4.4 Se mantienen registros actualizados de diagnósticos, programas y acciones en ergonomía</t>
  </si>
  <si>
    <t>4.6 Se han realizado auditorías internas o externas de cumplimiento normativo</t>
  </si>
  <si>
    <t>4.9 Se integran los diagnósticos ergonómicos al programa anual de seguridad y salud</t>
  </si>
  <si>
    <t>4.10 Se promueve una cultura de prevención y ergonomía dentro de la organización</t>
  </si>
  <si>
    <t>4.2 Se ha designado un responsable para el cumplimiento de la NOM-036-1-STPS-2018</t>
  </si>
  <si>
    <t>4.5 Se supervisa la aplicación de las medidas ergonómicas dentro de los puestos de trabajo</t>
  </si>
  <si>
    <t>4.7 Se ha comunicado al personal la importancia de esta norma mediante carteles, pláticas, boletines u otro medio informativo</t>
  </si>
  <si>
    <t>4.8 La información sobre riesgos por Manejo Manual de Cargas es accesible a todos los trabajadores</t>
  </si>
  <si>
    <t>5.1 Se cuenta con un diagnóstico enfocado en la identificación de factores de riesgo ergonómico por manejo manual de cargas</t>
  </si>
  <si>
    <t>5.4 Se han implementado medidas administrativas como rotación de puestos de trabajo o pausas activas</t>
  </si>
  <si>
    <t>5.6 Se da seguimiento a los casos de trastornos músculo-esqueléticos</t>
  </si>
  <si>
    <t>5.7 Se ha aplicado el Cuestionario Nórdico de Kuorinka a los trabajadores</t>
  </si>
  <si>
    <t>5.8 Se generan reportes de mejora continua en ergonomía</t>
  </si>
  <si>
    <t>5.9 Se capacita al personal en la autodetección de síntomas musculoesqueléticos que estén posiblemente  con el manejo manual de cargas</t>
  </si>
  <si>
    <t>5.10 En el programa de ergonomía se describen de manera clara las medidas de prevención y control ante la exposición a factores de riesgo ergonómico por manejo manual de cargas</t>
  </si>
  <si>
    <t>5.3 Se aplican medidas técnicas (redistribución de espacios, adecuación de estaciones) para reducir riesgos</t>
  </si>
  <si>
    <t>5.5 Se cuenta con un programa formar de ergonomía con responsables y cronograma para la implementación de mejoras</t>
  </si>
  <si>
    <t>5.2 Se ha realizado un análisis detallado de los puestos de trabajo mediante la aplicación de al menos un método de evaluación ergonómica como NIOSH, REBA, MAC Tool, RAPP Tool,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</si>
</sst>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* #,##0.00\ &quot;$&quot;_-;\-* #,##0.00\ &quot;$&quot;_-;_-* &quot;-&quot;??\ &quot;$&quot;_-;_-@_-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b/>
      <sz val="12"/>
      <name val="Tahoma"/>
      <family val="2"/>
    </font>
    <font>
      <b/>
      <sz val="14"/>
      <color theme="0"/>
      <name val="Tahoma"/>
      <family val="2"/>
    </font>
    <font>
      <sz val="11"/>
      <name val="Tahoma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5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4506668294322"/>
        <bgColor theme="6" tint="0.39994506668294322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3">
    <xf numFmtId="0" fontId="0" fillId="0" borderId="0"/>
    <xf numFmtId="0" fontId="3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6" fillId="8" borderId="10">
      <alignment vertical="center"/>
    </xf>
    <xf numFmtId="0" fontId="8" fillId="9" borderId="0" applyFont="0" applyBorder="0" applyAlignment="0"/>
    <xf numFmtId="0" fontId="7" fillId="10" borderId="11">
      <alignment horizontal="center" vertical="center"/>
    </xf>
    <xf numFmtId="164" fontId="4" fillId="0" borderId="0" applyFont="0" applyFill="0" applyBorder="0" applyAlignment="0" applyProtection="0"/>
  </cellStyleXfs>
  <cellXfs count="96">
    <xf numFmtId="0" fontId="0" fillId="0" borderId="0" xfId="0"/>
    <xf numFmtId="0" fontId="0" fillId="7" borderId="12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 wrapText="1"/>
    </xf>
    <xf numFmtId="0" fontId="0" fillId="12" borderId="12" xfId="0" applyFill="1" applyBorder="1" applyAlignment="1">
      <alignment horizontal="center" vertical="center" wrapText="1"/>
    </xf>
    <xf numFmtId="0" fontId="5" fillId="5" borderId="0" xfId="0" applyFont="1" applyFill="1" applyAlignment="1">
      <alignment horizontal="right" vertical="center"/>
    </xf>
    <xf numFmtId="0" fontId="5" fillId="5" borderId="7" xfId="0" applyFont="1" applyFill="1" applyBorder="1" applyAlignment="1">
      <alignment horizontal="right" vertical="center"/>
    </xf>
    <xf numFmtId="0" fontId="0" fillId="7" borderId="25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11" borderId="25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7" xfId="0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31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 vertical="center" wrapText="1"/>
    </xf>
    <xf numFmtId="0" fontId="10" fillId="6" borderId="3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31" xfId="0" applyFont="1" applyFill="1" applyBorder="1" applyAlignment="1">
      <alignment horizontal="center" vertical="center" wrapText="1"/>
    </xf>
    <xf numFmtId="0" fontId="10" fillId="12" borderId="17" xfId="0" applyFont="1" applyFill="1" applyBorder="1" applyAlignment="1">
      <alignment horizontal="center" vertical="center" wrapText="1"/>
    </xf>
    <xf numFmtId="0" fontId="10" fillId="12" borderId="32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right" vertical="center"/>
    </xf>
    <xf numFmtId="0" fontId="5" fillId="5" borderId="38" xfId="0" applyFont="1" applyFill="1" applyBorder="1" applyAlignment="1">
      <alignment horizontal="right" vertical="center"/>
    </xf>
    <xf numFmtId="0" fontId="0" fillId="7" borderId="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10" fillId="12" borderId="17" xfId="0" applyFont="1" applyFill="1" applyBorder="1" applyAlignment="1">
      <alignment vertical="center" wrapText="1"/>
    </xf>
    <xf numFmtId="0" fontId="10" fillId="12" borderId="32" xfId="0" applyFont="1" applyFill="1" applyBorder="1" applyAlignment="1">
      <alignment vertical="center" wrapText="1"/>
    </xf>
    <xf numFmtId="0" fontId="5" fillId="5" borderId="39" xfId="0" applyFont="1" applyFill="1" applyBorder="1" applyAlignment="1">
      <alignment horizontal="right" vertical="center"/>
    </xf>
    <xf numFmtId="0" fontId="0" fillId="0" borderId="15" xfId="0" applyBorder="1"/>
    <xf numFmtId="0" fontId="0" fillId="0" borderId="16" xfId="0" applyBorder="1"/>
    <xf numFmtId="0" fontId="5" fillId="0" borderId="38" xfId="0" applyFont="1" applyBorder="1" applyAlignment="1">
      <alignment horizontal="right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0" fillId="12" borderId="46" xfId="0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6" xfId="0" applyBorder="1" applyAlignment="1">
      <alignment wrapText="1"/>
    </xf>
    <xf numFmtId="0" fontId="0" fillId="7" borderId="47" xfId="0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6" borderId="48" xfId="0" applyFill="1" applyBorder="1" applyAlignment="1">
      <alignment horizontal="center" vertical="center"/>
    </xf>
    <xf numFmtId="0" fontId="0" fillId="11" borderId="48" xfId="0" applyFill="1" applyBorder="1" applyAlignment="1">
      <alignment horizontal="center" vertical="center"/>
    </xf>
    <xf numFmtId="0" fontId="0" fillId="12" borderId="49" xfId="0" applyFill="1" applyBorder="1" applyAlignment="1">
      <alignment horizontal="center" vertical="center"/>
    </xf>
    <xf numFmtId="0" fontId="0" fillId="7" borderId="50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/>
    </xf>
    <xf numFmtId="0" fontId="5" fillId="5" borderId="8" xfId="0" applyFont="1" applyFill="1" applyBorder="1" applyAlignment="1">
      <alignment horizontal="right" vertical="center"/>
    </xf>
    <xf numFmtId="0" fontId="0" fillId="7" borderId="24" xfId="0" applyFill="1" applyBorder="1" applyAlignment="1">
      <alignment horizontal="center" vertical="center"/>
    </xf>
    <xf numFmtId="0" fontId="0" fillId="0" borderId="8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7" borderId="31" xfId="0" applyFill="1" applyBorder="1" applyAlignment="1">
      <alignment horizontal="center" vertical="center" wrapText="1"/>
    </xf>
    <xf numFmtId="0" fontId="0" fillId="4" borderId="31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 wrapText="1"/>
    </xf>
    <xf numFmtId="0" fontId="0" fillId="11" borderId="31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 wrapText="1"/>
    </xf>
    <xf numFmtId="0" fontId="0" fillId="0" borderId="40" xfId="0" applyBorder="1" applyAlignment="1">
      <alignment wrapText="1"/>
    </xf>
    <xf numFmtId="0" fontId="0" fillId="0" borderId="0" xfId="0" applyAlignment="1">
      <alignment horizontal="center"/>
    </xf>
    <xf numFmtId="0" fontId="9" fillId="5" borderId="20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</cellXfs>
  <cellStyles count="13">
    <cellStyle name="FONS" xfId="10" xr:uid="{00000000-0005-0000-0000-000000000000}"/>
    <cellStyle name="Moneda 2" xfId="12" xr:uid="{00000000-0005-0000-0000-000001000000}"/>
    <cellStyle name="Moneda 3" xfId="7" xr:uid="{00000000-0005-0000-0000-000002000000}"/>
    <cellStyle name="Normal" xfId="0" builtinId="0"/>
    <cellStyle name="Normal 2" xfId="1" xr:uid="{00000000-0005-0000-0000-000004000000}"/>
    <cellStyle name="Normal 2 2" xfId="8" xr:uid="{00000000-0005-0000-0000-000005000000}"/>
    <cellStyle name="Normal 2 3" xfId="3" xr:uid="{00000000-0005-0000-0000-000006000000}"/>
    <cellStyle name="Normal 3" xfId="2" xr:uid="{00000000-0005-0000-0000-000007000000}"/>
    <cellStyle name="Normal 4" xfId="6" xr:uid="{00000000-0005-0000-0000-000008000000}"/>
    <cellStyle name="Porcentaje 2" xfId="4" xr:uid="{00000000-0005-0000-0000-000009000000}"/>
    <cellStyle name="Porcentual 2" xfId="5" xr:uid="{00000000-0005-0000-0000-00000A000000}"/>
    <cellStyle name="Titol 3" xfId="9" xr:uid="{00000000-0005-0000-0000-00000B000000}"/>
    <cellStyle name="Títol1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0"/>
  <sheetViews>
    <sheetView tabSelected="1" zoomScale="130" zoomScaleNormal="130" workbookViewId="0">
      <selection activeCell="B62" sqref="B62"/>
    </sheetView>
  </sheetViews>
  <sheetFormatPr baseColWidth="10" defaultRowHeight="15"/>
  <cols>
    <col min="1" max="1" width="4.6640625" customWidth="1"/>
    <col min="2" max="2" width="62.5" customWidth="1"/>
    <col min="3" max="7" width="9.6640625" customWidth="1"/>
  </cols>
  <sheetData>
    <row r="1" spans="2:7" ht="16" thickBot="1">
      <c r="B1" s="19"/>
    </row>
    <row r="2" spans="2:7" ht="22" thickBot="1">
      <c r="B2" s="86"/>
      <c r="C2" s="87"/>
      <c r="D2" s="87"/>
      <c r="E2" s="87"/>
      <c r="F2" s="87"/>
      <c r="G2" s="88"/>
    </row>
    <row r="3" spans="2:7" ht="22" thickBot="1">
      <c r="B3" s="89" t="s">
        <v>15</v>
      </c>
      <c r="C3" s="90"/>
      <c r="D3" s="90"/>
      <c r="E3" s="90"/>
      <c r="F3" s="90"/>
      <c r="G3" s="91"/>
    </row>
    <row r="4" spans="2:7" ht="18" customHeight="1">
      <c r="B4" s="92" t="s">
        <v>0</v>
      </c>
      <c r="C4" s="94" t="s">
        <v>2</v>
      </c>
      <c r="D4" s="95"/>
      <c r="E4" s="95"/>
      <c r="F4" s="95"/>
      <c r="G4" s="95"/>
    </row>
    <row r="5" spans="2:7">
      <c r="B5" s="93"/>
      <c r="C5" s="1">
        <v>0</v>
      </c>
      <c r="D5" s="2">
        <v>1</v>
      </c>
      <c r="E5" s="3">
        <v>2</v>
      </c>
      <c r="F5" s="4">
        <v>3</v>
      </c>
      <c r="G5" s="5">
        <v>4</v>
      </c>
    </row>
    <row r="6" spans="2:7" ht="17" thickBot="1">
      <c r="B6" s="52"/>
      <c r="C6" s="8" t="s">
        <v>11</v>
      </c>
      <c r="D6" s="9" t="s">
        <v>13</v>
      </c>
      <c r="E6" s="10" t="s">
        <v>12</v>
      </c>
      <c r="F6" s="11" t="s">
        <v>14</v>
      </c>
      <c r="G6" s="53" t="s">
        <v>23</v>
      </c>
    </row>
    <row r="7" spans="2:7">
      <c r="B7" s="77" t="s">
        <v>19</v>
      </c>
      <c r="C7" s="78"/>
      <c r="D7" s="78"/>
      <c r="E7" s="78"/>
      <c r="F7" s="78"/>
      <c r="G7" s="79"/>
    </row>
    <row r="8" spans="2:7" ht="33.75" customHeight="1">
      <c r="B8" s="65" t="s">
        <v>24</v>
      </c>
      <c r="C8" s="20"/>
      <c r="D8" s="21"/>
      <c r="E8" s="22"/>
      <c r="F8" s="23"/>
      <c r="G8" s="24"/>
    </row>
    <row r="9" spans="2:7" ht="32">
      <c r="B9" s="54" t="s">
        <v>25</v>
      </c>
      <c r="C9" s="20"/>
      <c r="D9" s="21"/>
      <c r="E9" s="22"/>
      <c r="F9" s="23"/>
      <c r="G9" s="24"/>
    </row>
    <row r="10" spans="2:7" ht="32">
      <c r="B10" s="54" t="s">
        <v>26</v>
      </c>
      <c r="C10" s="20"/>
      <c r="D10" s="21"/>
      <c r="E10" s="22"/>
      <c r="F10" s="23"/>
      <c r="G10" s="24"/>
    </row>
    <row r="11" spans="2:7" ht="32">
      <c r="B11" s="54" t="s">
        <v>27</v>
      </c>
      <c r="C11" s="20"/>
      <c r="D11" s="21"/>
      <c r="E11" s="22"/>
      <c r="F11" s="23"/>
      <c r="G11" s="24"/>
    </row>
    <row r="12" spans="2:7" ht="32">
      <c r="B12" s="54" t="s">
        <v>28</v>
      </c>
      <c r="C12" s="20"/>
      <c r="D12" s="21"/>
      <c r="E12" s="22"/>
      <c r="F12" s="23"/>
      <c r="G12" s="24"/>
    </row>
    <row r="13" spans="2:7" ht="32">
      <c r="B13" s="54" t="s">
        <v>29</v>
      </c>
      <c r="C13" s="20"/>
      <c r="D13" s="21"/>
      <c r="E13" s="22"/>
      <c r="F13" s="23"/>
      <c r="G13" s="24"/>
    </row>
    <row r="14" spans="2:7" ht="32">
      <c r="B14" s="54" t="s">
        <v>30</v>
      </c>
      <c r="C14" s="20"/>
      <c r="D14" s="21"/>
      <c r="E14" s="22"/>
      <c r="F14" s="23"/>
      <c r="G14" s="24"/>
    </row>
    <row r="15" spans="2:7" ht="32">
      <c r="B15" s="54" t="s">
        <v>31</v>
      </c>
      <c r="C15" s="20"/>
      <c r="D15" s="21"/>
      <c r="E15" s="22"/>
      <c r="F15" s="23"/>
      <c r="G15" s="24"/>
    </row>
    <row r="16" spans="2:7" ht="32">
      <c r="B16" s="54" t="s">
        <v>32</v>
      </c>
      <c r="C16" s="20"/>
      <c r="D16" s="21"/>
      <c r="E16" s="22"/>
      <c r="F16" s="23"/>
      <c r="G16" s="24"/>
    </row>
    <row r="17" spans="2:7" ht="33" thickBot="1">
      <c r="B17" s="55" t="s">
        <v>33</v>
      </c>
      <c r="C17" s="67"/>
      <c r="D17" s="68"/>
      <c r="E17" s="69"/>
      <c r="F17" s="70"/>
      <c r="G17" s="71"/>
    </row>
    <row r="18" spans="2:7" ht="16" thickBot="1">
      <c r="B18" s="63" t="s">
        <v>1</v>
      </c>
      <c r="C18" s="64">
        <f>SUM(C8:C17)</f>
        <v>0</v>
      </c>
      <c r="D18" s="12">
        <f>SUM(D8:D17)</f>
        <v>0</v>
      </c>
      <c r="E18" s="13">
        <f>SUM(E8:E17)</f>
        <v>0</v>
      </c>
      <c r="F18" s="14">
        <f>SUM(F8:F17)</f>
        <v>0</v>
      </c>
      <c r="G18" s="18">
        <f>SUM(G8:G17)</f>
        <v>0</v>
      </c>
    </row>
    <row r="19" spans="2:7" ht="17" thickBot="1">
      <c r="B19" s="35" t="s">
        <v>3</v>
      </c>
      <c r="C19" s="74">
        <f>C18+D18+E18+F18+G18</f>
        <v>0</v>
      </c>
      <c r="D19" s="75"/>
      <c r="E19" s="75"/>
      <c r="F19" s="75"/>
      <c r="G19" s="76"/>
    </row>
    <row r="20" spans="2:7">
      <c r="B20" s="77" t="s">
        <v>16</v>
      </c>
      <c r="C20" s="78"/>
      <c r="D20" s="78"/>
      <c r="E20" s="78">
        <v>36</v>
      </c>
      <c r="F20" s="78">
        <v>32</v>
      </c>
      <c r="G20" s="79"/>
    </row>
    <row r="21" spans="2:7" ht="32">
      <c r="B21" s="65" t="s">
        <v>34</v>
      </c>
      <c r="C21" s="27"/>
      <c r="D21" s="25"/>
      <c r="E21" s="26"/>
      <c r="F21" s="31"/>
      <c r="G21" s="33"/>
    </row>
    <row r="22" spans="2:7" ht="18.75" customHeight="1">
      <c r="B22" s="65" t="s">
        <v>39</v>
      </c>
      <c r="C22" s="27"/>
      <c r="D22" s="25"/>
      <c r="E22" s="26"/>
      <c r="F22" s="31"/>
      <c r="G22" s="33"/>
    </row>
    <row r="23" spans="2:7" ht="18.75" customHeight="1">
      <c r="B23" s="65" t="s">
        <v>35</v>
      </c>
      <c r="C23" s="27"/>
      <c r="D23" s="25"/>
      <c r="E23" s="26"/>
      <c r="F23" s="31"/>
      <c r="G23" s="33"/>
    </row>
    <row r="24" spans="2:7" ht="32">
      <c r="B24" s="65" t="s">
        <v>36</v>
      </c>
      <c r="C24" s="27"/>
      <c r="D24" s="25"/>
      <c r="E24" s="26"/>
      <c r="F24" s="31"/>
      <c r="G24" s="33"/>
    </row>
    <row r="25" spans="2:7" ht="16">
      <c r="B25" s="65" t="s">
        <v>40</v>
      </c>
      <c r="C25" s="27"/>
      <c r="D25" s="25"/>
      <c r="E25" s="26"/>
      <c r="F25" s="31"/>
      <c r="G25" s="33"/>
    </row>
    <row r="26" spans="2:7" ht="20" customHeight="1">
      <c r="B26" s="65" t="s">
        <v>41</v>
      </c>
      <c r="C26" s="27"/>
      <c r="D26" s="25"/>
      <c r="E26" s="26"/>
      <c r="F26" s="31"/>
      <c r="G26" s="33"/>
    </row>
    <row r="27" spans="2:7" ht="16">
      <c r="B27" s="65" t="s">
        <v>37</v>
      </c>
      <c r="C27" s="27"/>
      <c r="D27" s="25"/>
      <c r="E27" s="26"/>
      <c r="F27" s="31"/>
      <c r="G27" s="33"/>
    </row>
    <row r="28" spans="2:7" ht="33" customHeight="1">
      <c r="B28" s="65" t="s">
        <v>42</v>
      </c>
      <c r="C28" s="27"/>
      <c r="D28" s="25"/>
      <c r="E28" s="26"/>
      <c r="F28" s="31"/>
      <c r="G28" s="33"/>
    </row>
    <row r="29" spans="2:7" ht="32">
      <c r="B29" s="65" t="s">
        <v>38</v>
      </c>
      <c r="C29" s="27"/>
      <c r="D29" s="25"/>
      <c r="E29" s="26"/>
      <c r="F29" s="31"/>
      <c r="G29" s="33"/>
    </row>
    <row r="30" spans="2:7" ht="33" thickBot="1">
      <c r="B30" s="66" t="s">
        <v>43</v>
      </c>
      <c r="C30" s="28"/>
      <c r="D30" s="29"/>
      <c r="E30" s="30"/>
      <c r="F30" s="32"/>
      <c r="G30" s="34"/>
    </row>
    <row r="31" spans="2:7">
      <c r="B31" s="6" t="s">
        <v>1</v>
      </c>
      <c r="C31" s="61">
        <f>SUM(C21:C30)</f>
        <v>0</v>
      </c>
      <c r="D31" s="15">
        <f>SUM(D21:D30)</f>
        <v>0</v>
      </c>
      <c r="E31" s="16">
        <f>SUM(E21:E30)</f>
        <v>0</v>
      </c>
      <c r="F31" s="17">
        <f>SUM(F21:F30)</f>
        <v>0</v>
      </c>
      <c r="G31" s="62">
        <f>SUM(G21:G30)</f>
        <v>0</v>
      </c>
    </row>
    <row r="32" spans="2:7" ht="17" thickBot="1">
      <c r="B32" s="6" t="s">
        <v>3</v>
      </c>
      <c r="C32" s="80">
        <f>C31+D31+E31+F31+G31</f>
        <v>0</v>
      </c>
      <c r="D32" s="81"/>
      <c r="E32" s="81"/>
      <c r="F32" s="81"/>
      <c r="G32" s="82"/>
    </row>
    <row r="33" spans="2:7">
      <c r="B33" s="77" t="s">
        <v>20</v>
      </c>
      <c r="C33" s="78"/>
      <c r="D33" s="78"/>
      <c r="E33" s="78">
        <v>30</v>
      </c>
      <c r="F33" s="78">
        <v>40</v>
      </c>
      <c r="G33" s="79"/>
    </row>
    <row r="34" spans="2:7" ht="32">
      <c r="B34" s="54" t="s">
        <v>49</v>
      </c>
      <c r="C34" s="27"/>
      <c r="D34" s="25"/>
      <c r="E34" s="26"/>
      <c r="F34" s="31"/>
      <c r="G34" s="42"/>
    </row>
    <row r="35" spans="2:7" ht="16">
      <c r="B35" s="54" t="s">
        <v>44</v>
      </c>
      <c r="C35" s="27"/>
      <c r="D35" s="25"/>
      <c r="E35" s="26"/>
      <c r="F35" s="31"/>
      <c r="G35" s="42"/>
    </row>
    <row r="36" spans="2:7" ht="16">
      <c r="B36" s="54" t="s">
        <v>45</v>
      </c>
      <c r="C36" s="27"/>
      <c r="D36" s="25"/>
      <c r="E36" s="26"/>
      <c r="F36" s="31"/>
      <c r="G36" s="42"/>
    </row>
    <row r="37" spans="2:7" ht="16">
      <c r="B37" s="54" t="s">
        <v>46</v>
      </c>
      <c r="C37" s="27"/>
      <c r="D37" s="25"/>
      <c r="E37" s="26"/>
      <c r="F37" s="31"/>
      <c r="G37" s="42"/>
    </row>
    <row r="38" spans="2:7" ht="32">
      <c r="B38" s="54" t="s">
        <v>47</v>
      </c>
      <c r="C38" s="27"/>
      <c r="D38" s="25"/>
      <c r="E38" s="26"/>
      <c r="F38" s="31"/>
      <c r="G38" s="42"/>
    </row>
    <row r="39" spans="2:7" ht="16">
      <c r="B39" s="54" t="s">
        <v>48</v>
      </c>
      <c r="C39" s="27"/>
      <c r="D39" s="25"/>
      <c r="E39" s="26"/>
      <c r="F39" s="31"/>
      <c r="G39" s="42"/>
    </row>
    <row r="40" spans="2:7" ht="32">
      <c r="B40" s="54" t="s">
        <v>50</v>
      </c>
      <c r="C40" s="27"/>
      <c r="D40" s="25"/>
      <c r="E40" s="26"/>
      <c r="F40" s="31"/>
      <c r="G40" s="42"/>
    </row>
    <row r="41" spans="2:7" ht="32">
      <c r="B41" s="54" t="s">
        <v>53</v>
      </c>
      <c r="C41" s="27"/>
      <c r="D41" s="25"/>
      <c r="E41" s="26"/>
      <c r="F41" s="31"/>
      <c r="G41" s="42"/>
    </row>
    <row r="42" spans="2:7" ht="19" customHeight="1">
      <c r="B42" s="54" t="s">
        <v>51</v>
      </c>
      <c r="C42" s="27"/>
      <c r="D42" s="25"/>
      <c r="E42" s="26"/>
      <c r="F42" s="31"/>
      <c r="G42" s="42"/>
    </row>
    <row r="43" spans="2:7" ht="33" thickBot="1">
      <c r="B43" s="55" t="s">
        <v>52</v>
      </c>
      <c r="C43" s="28"/>
      <c r="D43" s="29"/>
      <c r="E43" s="30"/>
      <c r="F43" s="32"/>
      <c r="G43" s="43"/>
    </row>
    <row r="44" spans="2:7" ht="16" thickBot="1">
      <c r="B44" s="6" t="s">
        <v>1</v>
      </c>
      <c r="C44" s="56">
        <f>SUM(C34:C43)</f>
        <v>0</v>
      </c>
      <c r="D44" s="57">
        <f>SUM(D34:D43)</f>
        <v>0</v>
      </c>
      <c r="E44" s="58">
        <f>SUM(E34:E43)</f>
        <v>0</v>
      </c>
      <c r="F44" s="59">
        <f>SUM(F34:F43)</f>
        <v>0</v>
      </c>
      <c r="G44" s="60">
        <f>SUM(G34:G43)</f>
        <v>0</v>
      </c>
    </row>
    <row r="45" spans="2:7" ht="17" thickBot="1">
      <c r="B45" s="7" t="s">
        <v>3</v>
      </c>
      <c r="C45" s="83">
        <f>C44+D44+E44+F44+G44</f>
        <v>0</v>
      </c>
      <c r="D45" s="84"/>
      <c r="E45" s="84"/>
      <c r="F45" s="84"/>
      <c r="G45" s="85"/>
    </row>
    <row r="46" spans="2:7">
      <c r="B46" s="77" t="s">
        <v>18</v>
      </c>
      <c r="C46" s="78"/>
      <c r="D46" s="78">
        <v>8</v>
      </c>
      <c r="E46" s="78">
        <v>42</v>
      </c>
      <c r="F46" s="78">
        <v>8</v>
      </c>
      <c r="G46" s="79"/>
    </row>
    <row r="47" spans="2:7" ht="32">
      <c r="B47" s="54" t="s">
        <v>54</v>
      </c>
      <c r="C47" s="27"/>
      <c r="D47" s="25"/>
      <c r="E47" s="26"/>
      <c r="F47" s="31"/>
      <c r="G47" s="33"/>
    </row>
    <row r="48" spans="2:7" ht="32">
      <c r="B48" s="54" t="s">
        <v>60</v>
      </c>
      <c r="C48" s="27"/>
      <c r="D48" s="25"/>
      <c r="E48" s="26"/>
      <c r="F48" s="31"/>
      <c r="G48" s="33"/>
    </row>
    <row r="49" spans="2:7" ht="16">
      <c r="B49" s="54" t="s">
        <v>55</v>
      </c>
      <c r="C49" s="27"/>
      <c r="D49" s="25"/>
      <c r="E49" s="26"/>
      <c r="F49" s="31"/>
      <c r="G49" s="33"/>
    </row>
    <row r="50" spans="2:7" ht="32">
      <c r="B50" s="54" t="s">
        <v>56</v>
      </c>
      <c r="C50" s="27"/>
      <c r="D50" s="25"/>
      <c r="E50" s="26"/>
      <c r="F50" s="31"/>
      <c r="G50" s="33"/>
    </row>
    <row r="51" spans="2:7" ht="32">
      <c r="B51" s="54" t="s">
        <v>61</v>
      </c>
      <c r="C51" s="27"/>
      <c r="D51" s="25"/>
      <c r="E51" s="26"/>
      <c r="F51" s="31"/>
      <c r="G51" s="33"/>
    </row>
    <row r="52" spans="2:7" ht="16">
      <c r="B52" s="54" t="s">
        <v>57</v>
      </c>
      <c r="C52" s="27"/>
      <c r="D52" s="25"/>
      <c r="E52" s="26"/>
      <c r="F52" s="31"/>
      <c r="G52" s="33"/>
    </row>
    <row r="53" spans="2:7" ht="32">
      <c r="B53" s="54" t="s">
        <v>62</v>
      </c>
      <c r="C53" s="27"/>
      <c r="D53" s="25"/>
      <c r="E53" s="26"/>
      <c r="F53" s="31"/>
      <c r="G53" s="33"/>
    </row>
    <row r="54" spans="2:7" ht="32">
      <c r="B54" s="54" t="s">
        <v>63</v>
      </c>
      <c r="C54" s="27"/>
      <c r="D54" s="25"/>
      <c r="E54" s="26"/>
      <c r="F54" s="31"/>
      <c r="G54" s="33"/>
    </row>
    <row r="55" spans="2:7" ht="32">
      <c r="B55" s="54" t="s">
        <v>58</v>
      </c>
      <c r="C55" s="27"/>
      <c r="D55" s="25"/>
      <c r="E55" s="26"/>
      <c r="F55" s="31"/>
      <c r="G55" s="33"/>
    </row>
    <row r="56" spans="2:7" ht="33" thickBot="1">
      <c r="B56" s="55" t="s">
        <v>59</v>
      </c>
      <c r="C56" s="28"/>
      <c r="D56" s="29"/>
      <c r="E56" s="30"/>
      <c r="F56" s="32"/>
      <c r="G56" s="34"/>
    </row>
    <row r="57" spans="2:7" ht="16" thickBot="1">
      <c r="B57" s="36" t="s">
        <v>1</v>
      </c>
      <c r="C57" s="37">
        <f>SUM(C47:C56)</f>
        <v>0</v>
      </c>
      <c r="D57" s="38">
        <f>SUM(D47:D56)</f>
        <v>0</v>
      </c>
      <c r="E57" s="39">
        <f>SUM(E47:E56)</f>
        <v>0</v>
      </c>
      <c r="F57" s="40">
        <f>SUM(F47:F56)</f>
        <v>0</v>
      </c>
      <c r="G57" s="41">
        <f>SUM(G47:G56)</f>
        <v>0</v>
      </c>
    </row>
    <row r="58" spans="2:7" ht="17" thickBot="1">
      <c r="B58" s="44" t="s">
        <v>3</v>
      </c>
      <c r="C58" s="83">
        <f>C57+D57+E57+F57+G57</f>
        <v>0</v>
      </c>
      <c r="D58" s="84"/>
      <c r="E58" s="84"/>
      <c r="F58" s="84"/>
      <c r="G58" s="85"/>
    </row>
    <row r="59" spans="2:7">
      <c r="B59" s="77" t="s">
        <v>17</v>
      </c>
      <c r="C59" s="78">
        <v>2</v>
      </c>
      <c r="D59" s="78">
        <v>20</v>
      </c>
      <c r="E59" s="78">
        <v>24</v>
      </c>
      <c r="F59" s="78"/>
      <c r="G59" s="79"/>
    </row>
    <row r="60" spans="2:7" ht="32">
      <c r="B60" s="54" t="s">
        <v>64</v>
      </c>
      <c r="C60" s="27"/>
      <c r="D60" s="25"/>
      <c r="E60" s="26"/>
      <c r="F60" s="31"/>
      <c r="G60" s="42"/>
    </row>
    <row r="61" spans="2:7" ht="48">
      <c r="B61" s="54" t="s">
        <v>73</v>
      </c>
      <c r="C61" s="27"/>
      <c r="D61" s="25"/>
      <c r="E61" s="26"/>
      <c r="F61" s="31"/>
      <c r="G61" s="42"/>
    </row>
    <row r="62" spans="2:7" ht="32">
      <c r="B62" s="54" t="s">
        <v>71</v>
      </c>
      <c r="C62" s="27"/>
      <c r="D62" s="25"/>
      <c r="E62" s="26"/>
      <c r="F62" s="31"/>
      <c r="G62" s="42"/>
    </row>
    <row r="63" spans="2:7" ht="32">
      <c r="B63" s="54" t="s">
        <v>65</v>
      </c>
      <c r="C63" s="27"/>
      <c r="D63" s="25"/>
      <c r="E63" s="26"/>
      <c r="F63" s="31"/>
      <c r="G63" s="42"/>
    </row>
    <row r="64" spans="2:7" ht="32">
      <c r="B64" s="54" t="s">
        <v>72</v>
      </c>
      <c r="C64" s="27"/>
      <c r="D64" s="25"/>
      <c r="E64" s="26"/>
      <c r="F64" s="31"/>
      <c r="G64" s="42"/>
    </row>
    <row r="65" spans="2:7" ht="16">
      <c r="B65" s="54" t="s">
        <v>66</v>
      </c>
      <c r="C65" s="27"/>
      <c r="D65" s="25"/>
      <c r="E65" s="26"/>
      <c r="F65" s="31"/>
      <c r="G65" s="42"/>
    </row>
    <row r="66" spans="2:7" ht="16">
      <c r="B66" s="54" t="s">
        <v>67</v>
      </c>
      <c r="C66" s="27"/>
      <c r="D66" s="25"/>
      <c r="E66" s="26"/>
      <c r="F66" s="31"/>
      <c r="G66" s="42"/>
    </row>
    <row r="67" spans="2:7" ht="16">
      <c r="B67" s="54" t="s">
        <v>68</v>
      </c>
      <c r="C67" s="27"/>
      <c r="D67" s="25"/>
      <c r="E67" s="26"/>
      <c r="F67" s="31"/>
      <c r="G67" s="42"/>
    </row>
    <row r="68" spans="2:7" ht="32">
      <c r="B68" s="54" t="s">
        <v>69</v>
      </c>
      <c r="C68" s="27"/>
      <c r="D68" s="25"/>
      <c r="E68" s="26"/>
      <c r="F68" s="31"/>
      <c r="G68" s="42"/>
    </row>
    <row r="69" spans="2:7" ht="49" thickBot="1">
      <c r="B69" s="55" t="s">
        <v>70</v>
      </c>
      <c r="C69" s="28"/>
      <c r="D69" s="29"/>
      <c r="E69" s="30"/>
      <c r="F69" s="32"/>
      <c r="G69" s="43"/>
    </row>
    <row r="70" spans="2:7" ht="16" thickBot="1">
      <c r="B70" s="6" t="s">
        <v>1</v>
      </c>
      <c r="C70" s="56">
        <f>SUM(C60:C69)</f>
        <v>0</v>
      </c>
      <c r="D70" s="57">
        <f>SUM(D60:D69)</f>
        <v>0</v>
      </c>
      <c r="E70" s="58">
        <f>SUM(E60:E69)</f>
        <v>0</v>
      </c>
      <c r="F70" s="59">
        <f>SUM(F60:F69)</f>
        <v>0</v>
      </c>
      <c r="G70" s="60">
        <f>SUM(G60:G69)</f>
        <v>0</v>
      </c>
    </row>
    <row r="71" spans="2:7" ht="17" thickBot="1">
      <c r="B71" s="7" t="s">
        <v>3</v>
      </c>
      <c r="C71" s="83">
        <f>C70+D70+E70+F70+G70</f>
        <v>0</v>
      </c>
      <c r="D71" s="84"/>
      <c r="E71" s="84"/>
      <c r="F71" s="84"/>
      <c r="G71" s="85"/>
    </row>
    <row r="74" spans="2:7" ht="16" thickBot="1"/>
    <row r="75" spans="2:7" ht="32">
      <c r="B75" s="72" t="s">
        <v>19</v>
      </c>
      <c r="C75" s="48">
        <f>C19</f>
        <v>0</v>
      </c>
    </row>
    <row r="76" spans="2:7">
      <c r="B76" s="45" t="s">
        <v>21</v>
      </c>
      <c r="C76" s="49">
        <f>C32</f>
        <v>0</v>
      </c>
    </row>
    <row r="77" spans="2:7">
      <c r="B77" s="45" t="s">
        <v>22</v>
      </c>
      <c r="C77" s="49">
        <f>C45</f>
        <v>0</v>
      </c>
    </row>
    <row r="78" spans="2:7">
      <c r="B78" s="45" t="s">
        <v>18</v>
      </c>
      <c r="C78" s="49">
        <f>C71</f>
        <v>0</v>
      </c>
    </row>
    <row r="79" spans="2:7" ht="16" thickBot="1">
      <c r="B79" s="46" t="s">
        <v>17</v>
      </c>
      <c r="C79" s="50">
        <f>C58</f>
        <v>0</v>
      </c>
    </row>
    <row r="80" spans="2:7" ht="16" thickBot="1">
      <c r="B80" s="47" t="s">
        <v>4</v>
      </c>
      <c r="C80" s="51">
        <f>SUM(C75:C79)/6</f>
        <v>0</v>
      </c>
    </row>
    <row r="84" spans="2:7">
      <c r="B84" t="s">
        <v>6</v>
      </c>
    </row>
    <row r="85" spans="2:7">
      <c r="B85" t="s">
        <v>7</v>
      </c>
    </row>
    <row r="86" spans="2:7">
      <c r="B86" t="s">
        <v>8</v>
      </c>
    </row>
    <row r="87" spans="2:7">
      <c r="B87" t="s">
        <v>5</v>
      </c>
      <c r="C87" s="73"/>
      <c r="D87" s="73"/>
      <c r="E87" s="73"/>
      <c r="F87" s="73"/>
      <c r="G87" s="73"/>
    </row>
    <row r="88" spans="2:7">
      <c r="B88" t="s">
        <v>9</v>
      </c>
    </row>
    <row r="90" spans="2:7">
      <c r="B90" t="s">
        <v>10</v>
      </c>
      <c r="C90" s="73"/>
      <c r="D90" s="73"/>
      <c r="E90" s="73"/>
      <c r="F90" s="73"/>
    </row>
  </sheetData>
  <mergeCells count="16">
    <mergeCell ref="B2:G2"/>
    <mergeCell ref="B3:G3"/>
    <mergeCell ref="B4:B5"/>
    <mergeCell ref="B7:G7"/>
    <mergeCell ref="C4:G4"/>
    <mergeCell ref="C87:G87"/>
    <mergeCell ref="C90:F90"/>
    <mergeCell ref="C19:G19"/>
    <mergeCell ref="B20:G20"/>
    <mergeCell ref="C32:G32"/>
    <mergeCell ref="B46:G46"/>
    <mergeCell ref="C58:G58"/>
    <mergeCell ref="B33:G33"/>
    <mergeCell ref="C45:G45"/>
    <mergeCell ref="B59:G59"/>
    <mergeCell ref="C71:G7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Diagnóstico B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nerix</dc:creator>
  <cp:lastModifiedBy>Sergio Valenzuela</cp:lastModifiedBy>
  <cp:lastPrinted>2014-10-16T13:36:00Z</cp:lastPrinted>
  <dcterms:created xsi:type="dcterms:W3CDTF">2014-10-13T14:13:46Z</dcterms:created>
  <dcterms:modified xsi:type="dcterms:W3CDTF">2026-09-26T22:12:16Z</dcterms:modified>
</cp:coreProperties>
</file>